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c1a6facaa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8e38636c91e4f76"/>
    <x:sheet xmlns:r="http://schemas.openxmlformats.org/officeDocument/2006/relationships" name="Calculator" sheetId="2" r:id="Rc23ce54496e84aca"/>
    <x:sheet xmlns:r="http://schemas.openxmlformats.org/officeDocument/2006/relationships" name="Members" sheetId="3" r:id="Rcba7c22d85e04b13"/>
    <x:sheet xmlns:r="http://schemas.openxmlformats.org/officeDocument/2006/relationships" name="Reviewers" sheetId="4" r:id="R61481bdc69fe4653"/>
    <x:sheet xmlns:r="http://schemas.openxmlformats.org/officeDocument/2006/relationships" name="Moderators" sheetId="5" r:id="Rebc28114c1904fa9"/>
    <x:sheet xmlns:r="http://schemas.openxmlformats.org/officeDocument/2006/relationships" name="Posts" sheetId="6" r:id="R2eeec2c026274cc8"/>
    <x:sheet xmlns:r="http://schemas.openxmlformats.org/officeDocument/2006/relationships" name="Reviews" sheetId="7" r:id="R8cf4dd840a184aed"/>
    <x:sheet xmlns:r="http://schemas.openxmlformats.org/officeDocument/2006/relationships" name="Oversight" sheetId="8" r:id="Rb9aa1e839ffa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"/>
    <x:numFmt numFmtId="202" formatCode="0"/>
    <x:numFmt numFmtId="203" formatCode="0.00"/>
    <x:numFmt numFmtId="204" formatCode="0.0%"/>
  </x:numFmts>
  <x:fonts count="6">
    <x:font>
      <x:sz val="11"/>
      <x:name val="Carlito"/>
    </x:font>
    <x:font>
      <x:sz val="10"/>
      <x:color rgb="FF29343B"/>
      <x:name val="Arial"/>
    </x:font>
    <x:font>
      <x:b/>
      <x:sz val="14"/>
      <x:color rgb="FF79323D"/>
      <x:name val="Arial"/>
    </x:font>
    <x:font>
      <x:i/>
      <x:sz val="10"/>
      <x:color rgb="FF647179"/>
      <x:name val="Arial"/>
    </x:font>
    <x:font>
      <x:b/>
      <x:sz val="10"/>
      <x:color rgb="FFFFFFFF"/>
      <x:name val="Arial"/>
    </x:font>
    <x:font>
      <x:b/>
      <x:sz val="10"/>
      <x:color rgb="FF29343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9323D"/>
      </x:patternFill>
    </x:fill>
    <x:fill>
      <x:patternFill patternType="solid">
        <x:fgColor rgb="FFF8F5F5"/>
      </x:patternFill>
    </x:fill>
    <x:fill>
      <x:patternFill patternType="solid">
        <x:fgColor rgb="FFFFFFFF"/>
      </x:patternFill>
    </x:fill>
    <x:fill>
      <x:patternFill patternType="solid">
        <x:fgColor rgb="FFFFF1C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8C2C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676e7021214532" /><Relationship Type="http://schemas.openxmlformats.org/officeDocument/2006/relationships/theme" Target="/xl/theme/theme1.xml" Id="Rb6762ec8f2e64e94" /><Relationship Type="http://schemas.openxmlformats.org/officeDocument/2006/relationships/sharedStrings" Target="/xl/sharedStrings.xml" Id="Rbfce35da408245f2" /><Relationship Type="http://schemas.openxmlformats.org/officeDocument/2006/relationships/worksheet" Target="/xl/worksheets/sheet1.xml" Id="R98e38636c91e4f76" /><Relationship Type="http://schemas.openxmlformats.org/officeDocument/2006/relationships/worksheet" Target="/xl/worksheets/sheet2.xml" Id="Rc23ce54496e84aca" /><Relationship Type="http://schemas.openxmlformats.org/officeDocument/2006/relationships/worksheet" Target="/xl/worksheets/sheet3.xml" Id="Rcba7c22d85e04b13" /><Relationship Type="http://schemas.openxmlformats.org/officeDocument/2006/relationships/worksheet" Target="/xl/worksheets/sheet4.xml" Id="R61481bdc69fe4653" /><Relationship Type="http://schemas.openxmlformats.org/officeDocument/2006/relationships/worksheet" Target="/xl/worksheets/sheet5.xml" Id="Rebc28114c1904fa9" /><Relationship Type="http://schemas.openxmlformats.org/officeDocument/2006/relationships/worksheet" Target="/xl/worksheets/sheet6.xml" Id="R2eeec2c026274cc8" /><Relationship Type="http://schemas.openxmlformats.org/officeDocument/2006/relationships/worksheet" Target="/xl/worksheets/sheet7.xml" Id="R8cf4dd840a184aed" /><Relationship Type="http://schemas.openxmlformats.org/officeDocument/2006/relationships/worksheet" Target="/xl/worksheets/sheet8.xml" Id="Rb9aa1e839ffa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9323D"/>
  </x:sheetPr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88" hidden="0" customWidth="1"/>
  </x:cols>
  <x:sheetData>
    <x:row r="1">
      <x:c r="A1" s="2"/>
      <x:c r="B1" s="2"/>
      <x:c r="C1" s="2"/>
      <x:c r="D1" s="2"/>
    </x:row>
    <x:row r="2">
      <x:c r="A2" s="4" t="str">
        <x:v>Melee review analysis</x:v>
      </x:c>
      <x:c r="B2" s="5"/>
      <x:c r="C2" s="5"/>
      <x:c r="D2" s="5"/>
    </x:row>
    <x:row r="3">
      <x:c r="A3" s="6" t="str">
        <x:v>Template. No live records. UTC periods use an exclusive end.</x:v>
      </x:c>
      <x:c r="B3" s="2"/>
      <x:c r="C3" s="2"/>
      <x:c r="D3" s="2"/>
    </x:row>
    <x:row r="4">
      <x:c r="A4" s="2"/>
      <x:c r="B4" s="2"/>
      <x:c r="C4" s="2"/>
      <x:c r="D4" s="2"/>
    </x:row>
    <x:row r="5" ht="42" customHeight="1">
      <x:c r="A5" s="15" t="str">
        <x:v>Metric</x:v>
      </x:c>
      <x:c r="B5" s="16" t="str">
        <x:v>Current window</x:v>
      </x:c>
      <x:c r="C5" s="16" t="str">
        <x:v>Previous window</x:v>
      </x:c>
      <x:c r="D5" s="17" t="str">
        <x:v>Definition</x:v>
      </x:c>
    </x:row>
    <x:row r="6" ht="32" customHeight="1">
      <x:c r="A6" s="2" t="str">
        <x:v>Posts submitted</x:v>
      </x:c>
      <x:c r="B6" s="2" t="n">
        <x:v>0</x:v>
      </x:c>
      <x:c r="C6" s="2" t="n">
        <x:v>0</x:v>
      </x:c>
      <x:c r="D6" s="29" t="str">
        <x:v>Posts created during the window.</x:v>
      </x:c>
    </x:row>
    <x:row r="7" ht="32" customHeight="1">
      <x:c r="A7" s="2" t="str">
        <x:v>Reviews submitted</x:v>
      </x:c>
      <x:c r="B7" s="2" t="n">
        <x:v>0</x:v>
      </x:c>
      <x:c r="C7" s="2" t="n">
        <x:v>0</x:v>
      </x:c>
      <x:c r="D7" s="29" t="str">
        <x:v>Review events recorded during the window.</x:v>
      </x:c>
    </x:row>
    <x:row r="8" ht="32" customHeight="1">
      <x:c r="A8" s="2" t="str">
        <x:v>Current reviewer-role members</x:v>
      </x:c>
      <x:c r="B8" s="2" t="n">
        <x:v>0</x:v>
      </x:c>
      <x:c r="C8" s="2"/>
      <x:c r="D8" s="29" t="str">
        <x:v>Fresh current role inventory, not a historical roster.</x:v>
      </x:c>
    </x:row>
    <x:row r="9" ht="32" customHeight="1">
      <x:c r="A9" s="2" t="str">
        <x:v>Current member-role members</x:v>
      </x:c>
      <x:c r="B9" s="2" t="n">
        <x:v>0</x:v>
      </x:c>
      <x:c r="C9" s="2"/>
      <x:c r="D9" s="29" t="str">
        <x:v>Optional member/content role.</x:v>
      </x:c>
    </x:row>
    <x:row r="10" ht="32" customHeight="1">
      <x:c r="A10" s="2" t="str">
        <x:v>Active current-role reviewers</x:v>
      </x:c>
      <x:c r="B10" s="2" t="n">
        <x:v>0</x:v>
      </x:c>
      <x:c r="C10" s="2"/>
      <x:c r="D10" s="29" t="str">
        <x:v>At least one recorded review in the window.</x:v>
      </x:c>
    </x:row>
    <x:row r="11" ht="32" customHeight="1">
      <x:c r="A11" s="2" t="str">
        <x:v>Mature review opportunities</x:v>
      </x:c>
      <x:c r="B11" s="2" t="n">
        <x:v>0</x:v>
      </x:c>
      <x:c r="C11" s="2"/>
      <x:c r="D11" s="29" t="str">
        <x:v>Assignment cohort with due date before the cutoff. Reassigned/removed excluded.</x:v>
      </x:c>
    </x:row>
    <x:row r="12" ht="32" customHeight="1">
      <x:c r="A12" s="2" t="str">
        <x:v>Completed mature opportunities</x:v>
      </x:c>
      <x:c r="B12" s="2" t="n">
        <x:v>0</x:v>
      </x:c>
      <x:c r="C12" s="2"/>
      <x:c r="D12" s="29" t="str">
        <x:v>Cohort completions recorded before the cutoff.</x:v>
      </x:c>
    </x:row>
    <x:row r="13" ht="32" customHeight="1">
      <x:c r="A13" s="2" t="str">
        <x:v>Mature completion rate</x:v>
      </x:c>
      <x:c r="B13" s="30"/>
      <x:c r="C13" s="2"/>
      <x:c r="D13" s="29" t="str">
        <x:v>Unavailable when there were no mature opportunities.</x:v>
      </x:c>
    </x:row>
    <x:row r="14" ht="32" customHeight="1">
      <x:c r="A14" s="2" t="str">
        <x:v>Theoretical reviews per week</x:v>
      </x:c>
      <x:c r="B14" s="31" t="n">
        <x:v>0</x:v>
      </x:c>
      <x:c r="C14" s="2"/>
      <x:c r="D14" s="29" t="str">
        <x:v>All current reviewers multiplied by the configured weekly review limit.</x:v>
      </x:c>
    </x:row>
    <x:row r="15" ht="32" customHeight="1">
      <x:c r="A15" s="2" t="str">
        <x:v>Measured review capacity/week</x:v>
      </x:c>
      <x:c r="B15" s="31"/>
      <x:c r="C15" s="2"/>
      <x:c r="D15" s="29" t="str">
        <x:v>Active current-role reviewers multiplied by limit and current-role mature completion rate.</x:v>
      </x:c>
    </x:row>
    <x:row r="16" ht="32" customHeight="1">
      <x:c r="A16" s="2" t="str">
        <x:v>Required reviews per week</x:v>
      </x:c>
      <x:c r="B16" s="31" t="n">
        <x:v>0</x:v>
      </x:c>
      <x:c r="C16" s="2"/>
      <x:c r="D16" s="29" t="str">
        <x:v>Observed post arrivals multiplied by current required reviews/post.</x:v>
      </x:c>
    </x:row>
    <x:row r="17" ht="32" customHeight="1">
      <x:c r="A17" s="2" t="str">
        <x:v>90th percentile response (hours)</x:v>
      </x:c>
      <x:c r="B17" s="31"/>
      <x:c r="C17" s="2"/>
      <x:c r="D17" s="29" t="str">
        <x:v>Assignment to completion, from observed completions.</x:v>
      </x:c>
    </x:row>
    <x:row r="18" ht="32" customHeight="1">
      <x:c r="A18" s="2" t="str">
        <x:v>Volunteered reviewer slots/week</x:v>
      </x:c>
      <x:c r="B18" s="31" t="n">
        <x:v>0</x:v>
      </x:c>
      <x:c r="C18" s="2"/>
      <x:c r="D18" s="29" t="str">
        <x:v>Opted-in reviewer capacities.</x:v>
      </x:c>
    </x:row>
    <x:row r="19" ht="32" customHeight="1">
      <x:c r="A19" s="2" t="str">
        <x:v>Volunteered member slots/week</x:v>
      </x:c>
      <x:c r="B19" s="31" t="n">
        <x:v>0</x:v>
      </x:c>
      <x:c r="C19" s="2"/>
      <x:c r="D19" s="29" t="str">
        <x:v>Opted-in member capacities. These are separate commitments.</x:v>
      </x:c>
    </x:row>
    <x:row r="20" ht="32" customHeight="1">
      <x:c r="A20" s="2" t="str">
        <x:v>Regular MC paid</x:v>
      </x:c>
      <x:c r="B20" s="31" t="n">
        <x:v>0</x:v>
      </x:c>
      <x:c r="C20" s="2"/>
      <x:c r="D20" s="29" t="str">
        <x:v>Actual positive ledger entries. Not forecast MC.</x:v>
      </x:c>
    </x:row>
    <x:row r="21" ht="32" customHeight="1">
      <x:c r="A21" s="2" t="str">
        <x:v>Golden MC paid</x:v>
      </x:c>
      <x:c r="B21" s="31" t="n">
        <x:v>0</x:v>
      </x:c>
      <x:c r="C21" s="2"/>
      <x:c r="D21" s="29" t="str">
        <x:v>Actual positive ledger entries.</x:v>
      </x:c>
    </x:row>
    <x:row r="22" ht="32" customHeight="1">
      <x:c r="A22" s="2" t="str">
        <x:v>Assignment MC paid</x:v>
      </x:c>
      <x:c r="B22" s="31" t="n">
        <x:v>0</x:v>
      </x:c>
      <x:c r="C22" s="2"/>
      <x:c r="D22" s="29" t="str">
        <x:v>Actual positive ledger entries.</x:v>
      </x:c>
    </x:row>
    <x:row r="23" ht="32" customHeight="1">
      <x:c r="A23" s="2" t="str">
        <x:v>Moderator evaluations</x:v>
      </x:c>
      <x:c r="B23" s="2" t="n">
        <x:v>0</x:v>
      </x:c>
      <x:c r="C23" s="2"/>
      <x:c r="D23" s="29" t="str">
        <x:v>Private reviewer and member evaluations.</x:v>
      </x:c>
    </x:row>
    <x:row r="24" ht="32" customHeight="1">
      <x:c r="A24" s="2" t="str">
        <x:v>Full-sample evaluations</x:v>
      </x:c>
      <x:c r="B24" s="2" t="n">
        <x:v>0</x:v>
      </x:c>
      <x:c r="C24" s="2"/>
      <x:c r="D24" s="29" t="str">
        <x:v>Checked sample count reached the configured sample target.</x:v>
      </x:c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 t="str">
        <x:v>Evidence and scope</x:v>
      </x:c>
      <x:c r="B27" s="2"/>
      <x:c r="C27" s="2"/>
      <x:c r="D27" s="2"/>
    </x:row>
    <x:row r="28">
      <x:c r="A28" s="2" t="str">
        <x:v>Recorded comment links are not independent proof of X engagement.</x:v>
      </x:c>
      <x:c r="B28" s="2"/>
      <x:c r="C28" s="2"/>
      <x:c r="D28" s="2"/>
    </x:row>
    <x:row r="29">
      <x:c r="A29" s="2" t="str">
        <x:v>Current balances and role membership are as of report capture.</x:v>
      </x:c>
      <x:c r="B29" s="2"/>
      <x:c r="C29" s="2"/>
      <x:c r="D29" s="2"/>
    </x:row>
    <x:row r="30">
      <x:c r="A30" s="2" t="str">
        <x:v>No opportunities and insufficient samples stay distinct from zero performance.</x:v>
      </x:c>
      <x:c r="B30" s="2"/>
      <x:c r="C30" s="2"/>
      <x:c r="D30" s="2"/>
    </x:row>
    <x:row r="31">
      <x:c r="A31" s="2"/>
      <x:c r="B31" s="2"/>
      <x:c r="C31" s="2"/>
      <x:c r="D31" s="2"/>
    </x:row>
    <x:row r="32" ht="28" customHeight="1">
      <x:c r="A32" s="8" t="str">
        <x:v>Setup setting</x:v>
      </x:c>
      <x:c r="B32" s="8" t="str">
        <x:v>Current</x:v>
      </x:c>
      <x:c r="C32" s="8" t="str">
        <x:v>Suggested</x:v>
      </x:c>
      <x:c r="D32" s="8" t="str">
        <x:v>Reason</x:v>
      </x:c>
    </x:row>
    <x:row r="33" ht="48" customHeight="1">
      <x:c r="A33" s="2" t="str">
        <x:v>Workload</x:v>
      </x:c>
      <x:c r="B33" s="2"/>
      <x:c r="C33" s="2"/>
      <x:c r="D33" s="29" t="str">
        <x:v>Recommendations appear after sufficient observed assignments.</x:v>
      </x:c>
    </x:row>
    <x:row r="34" ht="48" customHeight="1">
      <x:c r="A34" s="2"/>
      <x:c r="B34" s="2"/>
      <x:c r="C34" s="2"/>
      <x:c r="D34" s="29"/>
    </x:row>
    <x:row r="35" ht="48" customHeight="1">
      <x:c r="A35" s="2"/>
      <x:c r="B35" s="2"/>
      <x:c r="C35" s="2"/>
      <x:c r="D35" s="29"/>
    </x:row>
    <x:row r="36" ht="48" customHeight="1">
      <x:c r="A36" s="2"/>
      <x:c r="B36" s="2"/>
      <x:c r="C36" s="2"/>
      <x:c r="D36" s="29"/>
    </x:row>
    <x:row r="37" ht="48" customHeight="1">
      <x:c r="A37" s="2"/>
      <x:c r="B37" s="2"/>
      <x:c r="C37" s="2"/>
      <x:c r="D37" s="29"/>
    </x:row>
    <x:row r="38" ht="48" customHeight="1">
      <x:c r="A38" s="2"/>
      <x:c r="B38" s="2"/>
      <x:c r="C38" s="2"/>
      <x:c r="D38" s="29"/>
    </x:row>
    <x:row r="39" ht="48" customHeight="1">
      <x:c r="A39" s="2"/>
      <x:c r="B39" s="2"/>
      <x:c r="C39" s="2"/>
      <x:c r="D39" s="29"/>
    </x:row>
    <x:row r="40" ht="48" customHeight="1">
      <x:c r="A40" s="2"/>
      <x:c r="B40" s="2"/>
      <x:c r="C40" s="2"/>
      <x:c r="D40" s="29"/>
    </x:row>
    <x:row r="42">
      <x:c r="A42" t="str">
        <x:v>Changes are proposals. Apply them only through the existing admin setup after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757F"/>
  </x:sheetPr>
  <x:sheetViews>
    <x:sheetView showGridLines="0" workbookViewId="0"/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3" hidden="0" customWidth="1"/>
    <x:col min="5" max="5" width="3" hidden="0" customWidth="1"/>
    <x:col min="6" max="6" width="36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Review setup calculator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6" t="str">
        <x:v>Template. No live records. UTC periods use an exclusive end.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15" t="str">
        <x:v>Setting / estimate</x:v>
      </x:c>
      <x:c r="B5" s="16" t="str">
        <x:v>Current rules</x:v>
      </x:c>
      <x:c r="C5" s="16" t="str">
        <x:v>Proposed rules</x:v>
      </x:c>
      <x:c r="D5" s="32"/>
      <x:c r="E5" s="32"/>
      <x:c r="F5" s="16" t="str">
        <x:v>Discord ID</x:v>
      </x:c>
      <x:c r="G5" s="16" t="str">
        <x:v>Cycle week</x:v>
      </x:c>
      <x:c r="H5" s="16" t="str">
        <x:v>Completed assignments</x:v>
      </x:c>
      <x:c r="I5" s="16" t="str">
        <x:v>All comment links</x:v>
      </x:c>
      <x:c r="J5" s="17" t="str">
        <x:v>Posts submitted</x:v>
      </x:c>
    </x:row>
    <x:row r="6">
      <x:c r="A6" s="2" t="str">
        <x:v>Reviews/reviewer/week</x:v>
      </x:c>
      <x:c r="B6" s="31" t="n">
        <x:v>7</x:v>
      </x:c>
      <x:c r="C6" s="34" t="n">
        <x:v>7</x:v>
      </x:c>
      <x:c r="D6" s="2"/>
      <x:c r="E6" s="2"/>
      <x:c r="F6" s="35"/>
      <x:c r="G6" s="35"/>
      <x:c r="H6" s="2" t="n">
        <x:v>0</x:v>
      </x:c>
      <x:c r="I6" s="2" t="n">
        <x:v>0</x:v>
      </x:c>
      <x:c r="J6" s="2" t="n">
        <x:v>0</x:v>
      </x:c>
    </x:row>
    <x:row r="7">
      <x:c r="A7" s="2" t="str">
        <x:v>Posts/member/week</x:v>
      </x:c>
      <x:c r="B7" s="31" t="n">
        <x:v>5</x:v>
      </x:c>
      <x:c r="C7" s="34" t="n">
        <x:v>5</x:v>
      </x:c>
      <x:c r="D7" s="2"/>
      <x:c r="E7" s="2"/>
      <x:c r="F7" s="2"/>
      <x:c r="G7" s="2"/>
      <x:c r="H7" s="2"/>
      <x:c r="I7" s="2"/>
      <x:c r="J7" s="2"/>
    </x:row>
    <x:row r="8">
      <x:c r="A8" s="2" t="str">
        <x:v>Required reviews/post</x:v>
      </x:c>
      <x:c r="B8" s="31" t="n">
        <x:v>5</x:v>
      </x:c>
      <x:c r="C8" s="34" t="n">
        <x:v>5</x:v>
      </x:c>
      <x:c r="D8" s="2"/>
      <x:c r="E8" s="2"/>
      <x:c r="F8" s="2"/>
      <x:c r="G8" s="2"/>
      <x:c r="H8" s="2"/>
      <x:c r="I8" s="2"/>
      <x:c r="J8" s="2"/>
    </x:row>
    <x:row r="9">
      <x:c r="A9" s="2" t="str">
        <x:v>Review window (days)</x:v>
      </x:c>
      <x:c r="B9" s="31" t="n">
        <x:v>7</x:v>
      </x:c>
      <x:c r="C9" s="34" t="n">
        <x:v>7</x:v>
      </x:c>
      <x:c r="D9" s="2"/>
      <x:c r="E9" s="2"/>
      <x:c r="F9" s="2"/>
      <x:c r="G9" s="2"/>
      <x:c r="H9" s="2"/>
      <x:c r="I9" s="2"/>
      <x:c r="J9" s="2"/>
    </x:row>
    <x:row r="10">
      <x:c r="A10" s="2" t="str">
        <x:v>MC score 4 to below 6</x:v>
      </x:c>
      <x:c r="B10" s="31" t="n">
        <x:v>1</x:v>
      </x:c>
      <x:c r="C10" s="34" t="n">
        <x:v>1</x:v>
      </x:c>
      <x:c r="D10" s="2"/>
      <x:c r="E10" s="2"/>
      <x:c r="F10" s="2"/>
      <x:c r="G10" s="2"/>
      <x:c r="H10" s="2"/>
      <x:c r="I10" s="2"/>
      <x:c r="J10" s="2"/>
    </x:row>
    <x:row r="11">
      <x:c r="A11" s="2" t="str">
        <x:v>MC score 6 to below 8</x:v>
      </x:c>
      <x:c r="B11" s="31" t="n">
        <x:v>3</x:v>
      </x:c>
      <x:c r="C11" s="34" t="n">
        <x:v>3</x:v>
      </x:c>
      <x:c r="D11" s="2"/>
      <x:c r="E11" s="2"/>
      <x:c r="F11" s="2"/>
      <x:c r="G11" s="2"/>
      <x:c r="H11" s="2"/>
      <x:c r="I11" s="2"/>
      <x:c r="J11" s="2"/>
    </x:row>
    <x:row r="12">
      <x:c r="A12" s="2" t="str">
        <x:v>MC score 8 to 10</x:v>
      </x:c>
      <x:c r="B12" s="31" t="n">
        <x:v>5</x:v>
      </x:c>
      <x:c r="C12" s="34" t="n">
        <x:v>5</x:v>
      </x:c>
      <x:c r="D12" s="2"/>
      <x:c r="E12" s="2"/>
      <x:c r="F12" s="2"/>
      <x:c r="G12" s="2"/>
      <x:c r="H12" s="2"/>
      <x:c r="I12" s="2"/>
      <x:c r="J12" s="2"/>
    </x:row>
    <x:row r="13">
      <x:c r="A13" s="2" t="str">
        <x:v>Review-goal MC</x:v>
      </x:c>
      <x:c r="B13" s="31" t="n">
        <x:v>2</x:v>
      </x:c>
      <x:c r="C13" s="34" t="n">
        <x:v>2</x:v>
      </x:c>
      <x:c r="D13" s="2"/>
      <x:c r="E13" s="2"/>
      <x:c r="F13" s="2"/>
      <x:c r="G13" s="2"/>
      <x:c r="H13" s="2"/>
      <x:c r="I13" s="2"/>
      <x:c r="J13" s="2"/>
    </x:row>
    <x:row r="14">
      <x:c r="A14" s="2" t="str">
        <x:v>All-comment-links bonus MC</x:v>
      </x:c>
      <x:c r="B14" s="31" t="n">
        <x:v>1</x:v>
      </x:c>
      <x:c r="C14" s="34" t="n">
        <x:v>1</x:v>
      </x:c>
      <x:c r="D14" s="2"/>
      <x:c r="E14" s="2"/>
      <x:c r="F14" s="2"/>
      <x:c r="G14" s="2"/>
      <x:c r="H14" s="2"/>
      <x:c r="I14" s="2"/>
      <x:c r="J14" s="2"/>
    </x:row>
    <x:row r="15">
      <x:c r="A15" s="2" t="str">
        <x:v>Submission-goal MC</x:v>
      </x:c>
      <x:c r="B15" s="31" t="n">
        <x:v>2</x:v>
      </x:c>
      <x:c r="C15" s="34" t="n">
        <x:v>2</x:v>
      </x:c>
      <x:c r="D15" s="2"/>
      <x:c r="E15" s="2"/>
      <x:c r="F15" s="2"/>
      <x:c r="G15" s="2"/>
      <x:c r="H15" s="2"/>
      <x:c r="I15" s="2"/>
      <x:c r="J15" s="2"/>
    </x:row>
    <x:row r="16">
      <x:c r="A16" s="2" t="str">
        <x:v>Showcase golden MC</x:v>
      </x:c>
      <x:c r="B16" s="31" t="n">
        <x:v>3</x:v>
      </x:c>
      <x:c r="C16" s="34" t="n">
        <x:v>3</x:v>
      </x:c>
      <x:c r="D16" s="2"/>
      <x:c r="E16" s="2"/>
      <x:c r="F16" s="2"/>
      <x:c r="G16" s="2"/>
      <x:c r="H16" s="2"/>
      <x:c r="I16" s="2"/>
      <x:c r="J16" s="2"/>
    </x:row>
    <x:row r="17">
      <x:c r="A17" s="2" t="str">
        <x:v>Showcase score threshold</x:v>
      </x:c>
      <x:c r="B17" s="31" t="n">
        <x:v>8</x:v>
      </x:c>
      <x:c r="C17" s="34" t="n">
        <x:v>8</x:v>
      </x:c>
      <x:c r="D17" s="2"/>
      <x:c r="E17" s="2"/>
      <x:c r="F17" s="2"/>
      <x:c r="G17" s="2"/>
      <x:c r="H17" s="2"/>
      <x:c r="I17" s="2"/>
      <x:c r="J17" s="2"/>
    </x:row>
    <x:row r="18">
      <x:c r="A18" s="2" t="str">
        <x:v>Current reviewer-role members</x:v>
      </x:c>
      <x:c r="B18" s="31" t="n">
        <x:v>0</x:v>
      </x:c>
      <x:c r="C18" s="31" t="n">
        <x:v>0</x:v>
      </x:c>
      <x:c r="D18" s="2"/>
      <x:c r="E18" s="2"/>
      <x:c r="F18" s="2"/>
      <x:c r="G18" s="2"/>
      <x:c r="H18" s="2"/>
      <x:c r="I18" s="2"/>
      <x:c r="J18" s="2"/>
    </x:row>
    <x:row r="19">
      <x:c r="A19" s="2" t="str">
        <x:v>Active current-role reviewers</x:v>
      </x:c>
      <x:c r="B19" s="31" t="n">
        <x:v>0</x:v>
      </x:c>
      <x:c r="C19" s="31" t="n">
        <x:v>0</x:v>
      </x:c>
      <x:c r="D19" s="2"/>
      <x:c r="E19" s="2"/>
      <x:c r="F19" s="2"/>
      <x:c r="G19" s="2"/>
      <x:c r="H19" s="2"/>
      <x:c r="I19" s="2"/>
      <x:c r="J19" s="2"/>
    </x:row>
    <x:row r="20">
      <x:c r="A20" s="2" t="str">
        <x:v>Observed mature completion rate</x:v>
      </x:c>
      <x:c r="B20" s="30"/>
      <x:c r="C20" s="30"/>
      <x:c r="D20" s="2"/>
      <x:c r="E20" s="2"/>
      <x:c r="F20" s="2"/>
      <x:c r="G20" s="2"/>
      <x:c r="H20" s="2"/>
      <x:c r="I20" s="2"/>
      <x:c r="J20" s="2"/>
    </x:row>
    <x:row r="21">
      <x:c r="A21" s="2" t="str">
        <x:v>Window length (weeks)</x:v>
      </x:c>
      <x:c r="B21" s="31" t="n">
        <x:v>2</x:v>
      </x:c>
      <x:c r="C21" s="31" t="n">
        <x:v>2</x:v>
      </x:c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32" customHeight="1">
      <x:c r="A23" s="36" t="str">
        <x:v>Estimated reward / workload</x:v>
      </x:c>
      <x:c r="B23" s="36" t="str">
        <x:v>Current rules</x:v>
      </x:c>
      <x:c r="C23" s="36" t="str">
        <x:v>Proposed rules</x:v>
      </x:c>
      <x:c r="D23" s="2"/>
      <x:c r="E23" s="2"/>
      <x:c r="F23" s="2"/>
      <x:c r="G23" s="2"/>
      <x:c r="H23" s="2"/>
      <x:c r="I23" s="2"/>
      <x:c r="J23" s="2"/>
    </x:row>
    <x:row r="24" ht="30" customHeight="1">
      <x:c r="A24" s="2" t="str">
        <x:v>Post-score regular MC</x:v>
      </x:c>
      <x:c r="B24" s="31" t="n">
        <x:f>SUM('Posts'!$K$6:$K$6)</x:f>
        <x:v>0</x:v>
      </x:c>
      <x:c r="C24" s="31" t="n">
        <x:f>SUM('Posts'!$I$6:$I$6)</x:f>
        <x:v>0</x:v>
      </x:c>
      <x:c r="D24" s="2"/>
      <x:c r="E24" s="2"/>
      <x:c r="F24" s="2"/>
      <x:c r="G24" s="2"/>
      <x:c r="H24" s="2"/>
      <x:c r="I24" s="2"/>
      <x:c r="J24" s="2"/>
    </x:row>
    <x:row r="25" ht="30" customHeight="1">
      <x:c r="A25" s="2" t="str">
        <x:v>Weekly review-goal MC</x:v>
      </x:c>
      <x:c r="B25" s="31" t="n">
        <x:f>COUNTIFS($H$6:$H$6,"&gt;="&amp;B6)*B13</x:f>
        <x:v>0</x:v>
      </x:c>
      <x:c r="C25" s="31" t="n">
        <x:f>COUNTIFS($H$6:$H$6,"&gt;="&amp;C6)*C13</x:f>
        <x:v>0</x:v>
      </x:c>
      <x:c r="D25" s="2"/>
      <x:c r="E25" s="2"/>
      <x:c r="F25" s="2"/>
      <x:c r="G25" s="2"/>
      <x:c r="H25" s="2"/>
      <x:c r="I25" s="2"/>
      <x:c r="J25" s="2"/>
    </x:row>
    <x:row r="26" ht="30" customHeight="1">
      <x:c r="A26" s="2" t="str">
        <x:v>All-comment-links bonus MC</x:v>
      </x:c>
      <x:c r="B26" s="31" t="n">
        <x:f>COUNTIFS($H$6:$H$6,"&gt;="&amp;B6,$I$6:$I$6,1)*B14</x:f>
        <x:v>0</x:v>
      </x:c>
      <x:c r="C26" s="31" t="n">
        <x:f>COUNTIFS($H$6:$H$6,"&gt;="&amp;C6,$I$6:$I$6,1)*C14</x:f>
        <x:v>0</x:v>
      </x:c>
      <x:c r="D26" s="2"/>
      <x:c r="E26" s="2"/>
      <x:c r="F26" s="2"/>
      <x:c r="G26" s="2"/>
      <x:c r="H26" s="2"/>
      <x:c r="I26" s="2"/>
      <x:c r="J26" s="2"/>
    </x:row>
    <x:row r="27" ht="30" customHeight="1">
      <x:c r="A27" s="2" t="str">
        <x:v>Weekly submission-goal MC</x:v>
      </x:c>
      <x:c r="B27" s="31" t="n">
        <x:f>COUNTIFS($J$6:$J$6,"&gt;="&amp;B7)*B15</x:f>
        <x:v>0</x:v>
      </x:c>
      <x:c r="C27" s="31" t="n">
        <x:f>COUNTIFS($J$6:$J$6,"&gt;="&amp;C7)*C15</x:f>
        <x:v>0</x:v>
      </x:c>
      <x:c r="D27" s="2"/>
      <x:c r="E27" s="2"/>
      <x:c r="F27" s="2"/>
      <x:c r="G27" s="2"/>
      <x:c r="H27" s="2"/>
      <x:c r="I27" s="2"/>
      <x:c r="J27" s="2"/>
    </x:row>
    <x:row r="28" ht="30" customHeight="1">
      <x:c r="A28" s="37" t="str">
        <x:v>Total estimated regular MC</x:v>
      </x:c>
      <x:c r="B28" s="38" t="n">
        <x:f>SUM(B24:B27)</x:f>
        <x:v>0</x:v>
      </x:c>
      <x:c r="C28" s="38" t="n">
        <x:f>SUM(C24:C27)</x:f>
        <x:v>0</x:v>
      </x:c>
      <x:c r="D28" s="2"/>
      <x:c r="E28" s="2"/>
      <x:c r="F28" s="2"/>
      <x:c r="G28" s="2"/>
      <x:c r="H28" s="2"/>
      <x:c r="I28" s="2"/>
      <x:c r="J28" s="2"/>
    </x:row>
    <x:row r="29" ht="30" customHeight="1">
      <x:c r="A29" s="37" t="str">
        <x:v>Estimated golden MC</x:v>
      </x:c>
      <x:c r="B29" s="38" t="n">
        <x:f>SUM('Posts'!$L$6:$L$6)</x:f>
        <x:v>0</x:v>
      </x:c>
      <x:c r="C29" s="38" t="n">
        <x:f>SUM('Posts'!$J$6:$J$6)</x:f>
        <x:v>0</x:v>
      </x:c>
      <x:c r="D29" s="2"/>
      <x:c r="E29" s="2"/>
      <x:c r="F29" s="2"/>
      <x:c r="G29" s="2"/>
      <x:c r="H29" s="2"/>
      <x:c r="I29" s="2"/>
      <x:c r="J29" s="2"/>
    </x:row>
    <x:row r="30" ht="30" customHeight="1">
      <x:c r="A30" s="37" t="str">
        <x:v>Total estimated MC</x:v>
      </x:c>
      <x:c r="B30" s="38" t="n">
        <x:f>SUM(B28:B29)</x:f>
        <x:v>0</x:v>
      </x:c>
      <x:c r="C30" s="38" t="n">
        <x:f>SUM(C28:C29)</x:f>
        <x:v>0</x:v>
      </x:c>
      <x:c r="D30" s="2"/>
      <x:c r="E30" s="2"/>
      <x:c r="F30" s="2"/>
      <x:c r="G30" s="2"/>
      <x:c r="H30" s="2"/>
      <x:c r="I30" s="2"/>
      <x:c r="J30" s="2"/>
    </x:row>
    <x:row r="31" ht="30" customHeight="1">
      <x:c r="A31" s="2" t="str">
        <x:v>Review demand per week</x:v>
      </x:c>
      <x:c r="B31" s="31" t="n">
        <x:f>COUNTA('Posts'!$A$6:$A$6)/B21*B8</x:f>
        <x:v>0</x:v>
      </x:c>
      <x:c r="C31" s="31" t="n">
        <x:f>COUNTA('Posts'!$A$6:$A$6)/C21*C8</x:f>
        <x:v>0</x:v>
      </x:c>
      <x:c r="D31" s="2"/>
      <x:c r="E31" s="2"/>
      <x:c r="F31" s="2"/>
      <x:c r="G31" s="2"/>
      <x:c r="H31" s="2"/>
      <x:c r="I31" s="2"/>
      <x:c r="J31" s="2"/>
    </x:row>
    <x:row r="32" ht="30" customHeight="1">
      <x:c r="A32" s="2" t="str">
        <x:v>Theoretical review capacity/week</x:v>
      </x:c>
      <x:c r="B32" s="31" t="n">
        <x:f>B18*B6</x:f>
        <x:v>0</x:v>
      </x:c>
      <x:c r="C32" s="31" t="n">
        <x:f>C18*C6</x:f>
        <x:v>0</x:v>
      </x:c>
      <x:c r="D32" s="2"/>
      <x:c r="E32" s="2"/>
      <x:c r="F32" s="2"/>
      <x:c r="G32" s="2"/>
      <x:c r="H32" s="2"/>
      <x:c r="I32" s="2"/>
      <x:c r="J32" s="2"/>
    </x:row>
    <x:row r="33" ht="30" customHeight="1">
      <x:c r="A33" s="2" t="str">
        <x:v>Measured review capacity/week</x:v>
      </x:c>
      <x:c r="B33" s="31" t="str">
        <x:f>IF(B20="","",B19*B6*B20)</x:f>
      </x:c>
      <x:c r="C33" s="31" t="str">
        <x:f>IF(C20="","",C19*C6*C20)</x:f>
      </x:c>
      <x:c r="D33" s="2"/>
      <x:c r="E33" s="2"/>
      <x:c r="F33" s="2"/>
      <x:c r="G33" s="2"/>
      <x:c r="H33" s="2"/>
      <x:c r="I33" s="2"/>
      <x:c r="J33" s="2"/>
    </x:row>
    <x:row r="34" ht="30" customHeight="1">
      <x:c r="A34" s="2" t="str">
        <x:v>Measured capacity shortfall/week</x:v>
      </x:c>
      <x:c r="B34" s="31" t="str">
        <x:f>IF(B33="","",MAX(0,B31-B33))</x:f>
      </x:c>
      <x:c r="C34" s="31" t="str">
        <x:f>IF(C33="","",MAX(0,C31-C33))</x:f>
      </x:c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44" customHeight="1">
      <x:c r="A36" s="29" t="str">
        <x:v>Amber cells are editable. Estimates use observed in-window cycle fragments, not historical payout reconstruction.</x:v>
      </x:c>
      <x:c r="B36" s="29"/>
      <x:c r="C36" s="29"/>
      <x:c r="D36" s="2"/>
      <x:c r="E36" s="2"/>
      <x:c r="F36" s="2"/>
      <x:c r="G36" s="2"/>
      <x:c r="H36" s="2"/>
      <x:c r="I36" s="2"/>
      <x:c r="J36" s="2"/>
    </x:row>
    <x:row r="37" ht="44" customHeight="1">
      <x:c r="A37" s="29" t="str">
        <x:v>Proposed reviews/post is hypothetical. Saved requirements and deadlines never change. Review-window input does not rewrite observed due dates.</x:v>
      </x:c>
      <x:c r="B37" s="29"/>
      <x:c r="C37" s="29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mergeCells>
    <x:mergeCell ref="A36:C36"/>
    <x:mergeCell ref="A37:C37"/>
  </x:mergeCells>
  <x:dataValidations count="5">
    <x:dataValidation type="whole" operator="between" sqref="C6:C7">
      <x:formula1>1</x:formula1>
      <x:formula2>20</x:formula2>
    </x:dataValidation>
    <x:dataValidation type="whole" operator="between" sqref="C8">
      <x:formula1>1</x:formula1>
      <x:formula2>10</x:formula2>
    </x:dataValidation>
    <x:dataValidation type="whole" operator="between" sqref="C9">
      <x:formula1>1</x:formula1>
      <x:formula2>14</x:formula2>
    </x:dataValidation>
    <x:dataValidation type="decimal" operator="between" sqref="C10:C16">
      <x:formula1>0</x:formula1>
      <x:formula2>1000</x:formula2>
    </x:dataValidation>
    <x:dataValidation type="decimal" operator="between" sqref="C17">
      <x:formula1>0</x:formula1>
      <x:formula2>10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24" hidden="0" customWidth="1"/>
    <x:col min="5" max="5" width="2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24" hidden="0" customWidth="1"/>
    <x:col min="23" max="23" width="19" hidden="0" customWidth="1"/>
    <x:col min="24" max="24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4" t="str">
        <x:v>Members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>
      <x:c r="A3" s="6" t="str">
        <x:v>Template. No live records. UTC periods use an exclusive end.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2" customHeight="1">
      <x:c r="A5" s="15" t="str">
        <x:v>Discord ID</x:v>
      </x:c>
      <x:c r="B5" s="16" t="str">
        <x:v>Username</x:v>
      </x:c>
      <x:c r="C5" s="16" t="str">
        <x:v>Display name</x:v>
      </x:c>
      <x:c r="D5" s="16" t="str">
        <x:v>X handle</x:v>
      </x:c>
      <x:c r="E5" s="16" t="str">
        <x:v>Joined (UTC)</x:v>
      </x:c>
      <x:c r="F5" s="16" t="str">
        <x:v>Current member role</x:v>
      </x:c>
      <x:c r="G5" s="16" t="str">
        <x:v>Posts submitted</x:v>
      </x:c>
      <x:c r="H5" s="16" t="str">
        <x:v>Posts scored</x:v>
      </x:c>
      <x:c r="I5" s="16" t="str">
        <x:v>Mean post score</x:v>
      </x:c>
      <x:c r="J5" s="16" t="str">
        <x:v>Posts awaiting reviews</x:v>
      </x:c>
      <x:c r="K5" s="16" t="str">
        <x:v>Regular MC balance</x:v>
      </x:c>
      <x:c r="L5" s="16" t="str">
        <x:v>Golden MC balance</x:v>
      </x:c>
      <x:c r="M5" s="16" t="str">
        <x:v>Assignment MC balance</x:v>
      </x:c>
      <x:c r="N5" s="16" t="str">
        <x:v>Total MC balance</x:v>
      </x:c>
      <x:c r="O5" s="16" t="str">
        <x:v>MC earned in window</x:v>
      </x:c>
      <x:c r="P5" s="16" t="str">
        <x:v>MC deducted in window</x:v>
      </x:c>
      <x:c r="Q5" s="16" t="str">
        <x:v>Moderator score (full samples)</x:v>
      </x:c>
      <x:c r="R5" s="16" t="str">
        <x:v>Limited-sample score</x:v>
      </x:c>
      <x:c r="S5" s="16" t="str">
        <x:v>Evaluations</x:v>
      </x:c>
      <x:c r="T5" s="16" t="str">
        <x:v>Indexed messages</x:v>
      </x:c>
      <x:c r="U5" s="16" t="str">
        <x:v>Observed actions/reactions</x:v>
      </x:c>
      <x:c r="V5" s="16" t="str">
        <x:v>Participation</x:v>
      </x:c>
      <x:c r="W5" s="16" t="str">
        <x:v>Current reviewer role</x:v>
      </x:c>
      <x:c r="X5" s="17" t="str">
        <x:v>Post comment links recorded</x:v>
      </x:c>
    </x:row>
    <x:row r="6" ht="32" customHeight="1">
      <x:c r="A6" s="19"/>
      <x:c r="B6" s="19"/>
      <x:c r="C6" s="19"/>
      <x:c r="D6" s="19"/>
      <x:c r="E6" s="21"/>
      <x:c r="F6" s="23" t="n">
        <x:v>0</x:v>
      </x:c>
      <x:c r="G6" s="23" t="n">
        <x:v>0</x:v>
      </x:c>
      <x:c r="H6" s="23" t="n">
        <x:v>0</x:v>
      </x:c>
      <x:c r="I6" s="25" t="n">
        <x:v>0</x:v>
      </x:c>
      <x:c r="J6" s="23" t="n">
        <x:v>0</x:v>
      </x:c>
      <x:c r="K6" s="25" t="n">
        <x:v>0</x:v>
      </x:c>
      <x:c r="L6" s="25" t="n">
        <x:v>0</x:v>
      </x:c>
      <x:c r="M6" s="25" t="n">
        <x:v>0</x:v>
      </x:c>
      <x:c r="N6" s="25" t="n">
        <x:f>SUM(K6:M6)</x:f>
        <x:v>0</x:v>
      </x:c>
      <x:c r="O6" s="25" t="n">
        <x:v>0</x:v>
      </x:c>
      <x:c r="P6" s="25" t="n">
        <x:v>0</x:v>
      </x:c>
      <x:c r="Q6" s="25" t="n">
        <x:v>0</x:v>
      </x:c>
      <x:c r="R6" s="25" t="n">
        <x:v>0</x:v>
      </x:c>
      <x:c r="S6" s="23" t="n">
        <x:v>0</x:v>
      </x:c>
      <x:c r="T6" s="23" t="n">
        <x:v>0</x:v>
      </x:c>
      <x:c r="U6" s="23" t="n">
        <x:v>0</x:v>
      </x:c>
      <x:c r="V6" s="19"/>
      <x:c r="W6" s="23" t="n">
        <x:v>0</x:v>
      </x:c>
      <x:c r="X6" s="23" t="n">
        <x:v>0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2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4" t="str">
        <x:v>Reviewers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>
      <x:c r="A3" s="6" t="str">
        <x:v>Template. No live records. UTC periods use an exclusive end.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42" customHeight="1">
      <x:c r="A5" s="15" t="str">
        <x:v>Discord ID</x:v>
      </x:c>
      <x:c r="B5" s="16" t="str">
        <x:v>Username</x:v>
      </x:c>
      <x:c r="C5" s="16" t="str">
        <x:v>Display name</x:v>
      </x:c>
      <x:c r="D5" s="16" t="str">
        <x:v>X handle</x:v>
      </x:c>
      <x:c r="E5" s="16" t="str">
        <x:v>Current reviewer role</x:v>
      </x:c>
      <x:c r="F5" s="16" t="str">
        <x:v>Assignments received</x:v>
      </x:c>
      <x:c r="G5" s="16" t="str">
        <x:v>Mature opportunities</x:v>
      </x:c>
      <x:c r="H5" s="16" t="str">
        <x:v>Completed mature opportunities</x:v>
      </x:c>
      <x:c r="I5" s="16" t="str">
        <x:v>Opportunity completion</x:v>
      </x:c>
      <x:c r="J5" s="16" t="str">
        <x:v>Reviews submitted</x:v>
      </x:c>
      <x:c r="K5" s="16" t="str">
        <x:v>Future-due pending</x:v>
      </x:c>
      <x:c r="L5" s="16" t="str">
        <x:v>Reassigned or removed</x:v>
      </x:c>
      <x:c r="M5" s="16" t="str">
        <x:v>Mean response hours</x:v>
      </x:c>
      <x:c r="N5" s="16" t="str">
        <x:v>Mean score given</x:v>
      </x:c>
      <x:c r="O5" s="16" t="str">
        <x:v>Comment links recorded</x:v>
      </x:c>
      <x:c r="P5" s="16" t="str">
        <x:v>Mean feedback characters</x:v>
      </x:c>
      <x:c r="Q5" s="16" t="str">
        <x:v>Repeated feedback groups</x:v>
      </x:c>
      <x:c r="R5" s="16" t="str">
        <x:v>Peer score difference</x:v>
      </x:c>
      <x:c r="S5" s="16" t="str">
        <x:v>Peer comparisons</x:v>
      </x:c>
      <x:c r="T5" s="16" t="str">
        <x:v>Moderator score (full samples)</x:v>
      </x:c>
      <x:c r="U5" s="16" t="str">
        <x:v>Limited-sample score</x:v>
      </x:c>
      <x:c r="V5" s="16" t="str">
        <x:v>Evaluations</x:v>
      </x:c>
      <x:c r="W5" s="17" t="str">
        <x:v>Opportunity context</x:v>
      </x:c>
    </x:row>
    <x:row r="6" ht="32" customHeight="1">
      <x:c r="A6" s="19"/>
      <x:c r="B6" s="19"/>
      <x:c r="C6" s="19"/>
      <x:c r="D6" s="19"/>
      <x:c r="E6" s="23" t="n">
        <x:v>0</x:v>
      </x:c>
      <x:c r="F6" s="23" t="n">
        <x:v>0</x:v>
      </x:c>
      <x:c r="G6" s="23" t="n">
        <x:v>0</x:v>
      </x:c>
      <x:c r="H6" s="23" t="n">
        <x:v>0</x:v>
      </x:c>
      <x:c r="I6" s="27" t="str">
        <x:f>IF(G6=0,"",H6/G6)</x:f>
      </x:c>
      <x:c r="J6" s="23" t="n">
        <x:v>0</x:v>
      </x:c>
      <x:c r="K6" s="23" t="n">
        <x:v>0</x:v>
      </x:c>
      <x:c r="L6" s="23" t="n">
        <x:v>0</x:v>
      </x:c>
      <x:c r="M6" s="25" t="n">
        <x:v>0</x:v>
      </x:c>
      <x:c r="N6" s="25" t="n">
        <x:v>0</x:v>
      </x:c>
      <x:c r="O6" s="23" t="n">
        <x:v>0</x:v>
      </x:c>
      <x:c r="P6" s="25" t="n">
        <x:v>0</x:v>
      </x:c>
      <x:c r="Q6" s="23" t="n">
        <x:v>0</x:v>
      </x:c>
      <x:c r="R6" s="25" t="n">
        <x:v>0</x:v>
      </x:c>
      <x:c r="S6" s="23" t="n">
        <x:v>0</x:v>
      </x:c>
      <x:c r="T6" s="25" t="n">
        <x:v>0</x:v>
      </x:c>
      <x:c r="U6" s="25" t="n">
        <x:v>0</x:v>
      </x:c>
      <x:c r="V6" s="23" t="n">
        <x:v>0</x:v>
      </x:c>
      <x:c r="W6" s="19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Moderators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6" t="str">
        <x:v>Template. No live records. UTC periods use an exclusive end.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15" t="str">
        <x:v>Discord ID</x:v>
      </x:c>
      <x:c r="B5" s="16" t="str">
        <x:v>Username</x:v>
      </x:c>
      <x:c r="C5" s="16" t="str">
        <x:v>Display name</x:v>
      </x:c>
      <x:c r="D5" s="16" t="str">
        <x:v>Available</x:v>
      </x:c>
      <x:c r="E5" s="16" t="str">
        <x:v>Weekly reviewer capacity</x:v>
      </x:c>
      <x:c r="F5" s="16" t="str">
        <x:v>Weekly member capacity</x:v>
      </x:c>
      <x:c r="G5" s="16" t="str">
        <x:v>Assigned people/scopes</x:v>
      </x:c>
      <x:c r="H5" s="16" t="str">
        <x:v>Evaluated people</x:v>
      </x:c>
      <x:c r="I5" s="16" t="str">
        <x:v>Skipped without penalty</x:v>
      </x:c>
      <x:c r="J5" s="16" t="str">
        <x:v>Mean score given</x:v>
      </x:c>
      <x:c r="K5" s="17" t="str">
        <x:v>Limited-sample evaluations</x:v>
      </x:c>
    </x:row>
    <x:row r="6" ht="32" customHeight="1">
      <x:c r="A6" s="19"/>
      <x:c r="B6" s="19"/>
      <x:c r="C6" s="19"/>
      <x:c r="D6" s="23" t="n">
        <x:v>0</x:v>
      </x:c>
      <x:c r="E6" s="23" t="n">
        <x:v>0</x:v>
      </x:c>
      <x:c r="F6" s="23" t="n">
        <x:v>0</x:v>
      </x:c>
      <x:c r="G6" s="23" t="n">
        <x:v>0</x:v>
      </x:c>
      <x:c r="H6" s="23" t="n">
        <x:v>0</x:v>
      </x:c>
      <x:c r="I6" s="23" t="n">
        <x:v>0</x:v>
      </x:c>
      <x:c r="J6" s="25" t="n">
        <x:v>0</x:v>
      </x:c>
      <x:c r="K6" s="23" t="n">
        <x:v>0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44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4" t="str">
        <x:v>Posts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6" t="str">
        <x:v>Template. No live records. UTC periods use an exclusive end.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15" t="str">
        <x:v>Post ID</x:v>
      </x:c>
      <x:c r="B5" s="16" t="str">
        <x:v>Author ID</x:v>
      </x:c>
      <x:c r="C5" s="16" t="str">
        <x:v>X post link</x:v>
      </x:c>
      <x:c r="D5" s="16" t="str">
        <x:v>Submitted (UTC)</x:v>
      </x:c>
      <x:c r="E5" s="16" t="str">
        <x:v>Required reviews (saved)</x:v>
      </x:c>
      <x:c r="F5" s="16" t="str">
        <x:v>Reviews before cutoff</x:v>
      </x:c>
      <x:c r="G5" s="16" t="str">
        <x:v>Observed mean score</x:v>
      </x:c>
      <x:c r="H5" s="16" t="str">
        <x:v>Finalized before cutoff</x:v>
      </x:c>
      <x:c r="I5" s="16" t="str">
        <x:v>Scenario regular MC</x:v>
      </x:c>
      <x:c r="J5" s="16" t="str">
        <x:v>Scenario golden MC</x:v>
      </x:c>
      <x:c r="K5" s="16" t="str">
        <x:v>Current-rule regular MC</x:v>
      </x:c>
      <x:c r="L5" s="17" t="str">
        <x:v>Current-rule golden MC</x:v>
      </x:c>
    </x:row>
    <x:row r="6" ht="32" customHeight="1">
      <x:c r="A6" s="19"/>
      <x:c r="B6" s="19"/>
      <x:c r="C6" s="19"/>
      <x:c r="D6" s="21"/>
      <x:c r="E6" s="23" t="n">
        <x:v>0</x:v>
      </x:c>
      <x:c r="F6" s="23" t="n">
        <x:v>0</x:v>
      </x:c>
      <x:c r="G6" s="25" t="n">
        <x:v>0</x:v>
      </x:c>
      <x:c r="H6" s="23" t="n">
        <x:v>0</x:v>
      </x:c>
      <x:c r="I6" s="25" t="n">
        <x:f>IF(F6&lt;'Calculator'!$C$8,0,IF(G6&gt;=8,'Calculator'!$C$12,IF(G6&gt;=6,'Calculator'!$C$11,IF(G6&gt;=4,'Calculator'!$C$10,0))))</x:f>
        <x:v>0</x:v>
      </x:c>
      <x:c r="J6" s="25" t="n">
        <x:f>IF(F6&lt;'Calculator'!$C$8,0,IF(G6&gt;='Calculator'!$C$17,'Calculator'!$C$16,0))</x:f>
        <x:v>0</x:v>
      </x:c>
      <x:c r="K6" s="25" t="n">
        <x:f>IF(F6&lt;E6,0,IF(G6&gt;=8,'Calculator'!$B$12,IF(G6&gt;=6,'Calculator'!$B$11,IF(G6&gt;=4,'Calculator'!$B$10,0))))</x:f>
        <x:v>0</x:v>
      </x:c>
      <x:c r="L6" s="25" t="n">
        <x:f>IF(F6&lt;E6,0,IF(G6&gt;='Calculator'!$B$17,'Calculator'!$B$16,0))</x:f>
        <x:v>0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9" hidden="0" customWidth="1"/>
    <x:col min="5" max="5" width="23" hidden="0" customWidth="1"/>
    <x:col min="6" max="6" width="44" hidden="0" customWidth="1"/>
    <x:col min="7" max="7" width="44" hidden="0" customWidth="1"/>
    <x:col min="8" max="8" width="70" hidden="0" customWidth="1"/>
    <x:col min="9" max="9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4" t="str">
        <x:v>Reviews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6" t="str">
        <x:v>Template. No live records. UTC periods use an exclusive end.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15" t="str">
        <x:v>Review ID</x:v>
      </x:c>
      <x:c r="B5" s="16" t="str">
        <x:v>Post ID</x:v>
      </x:c>
      <x:c r="C5" s="16" t="str">
        <x:v>Reviewer ID</x:v>
      </x:c>
      <x:c r="D5" s="16" t="str">
        <x:v>Content score</x:v>
      </x:c>
      <x:c r="E5" s="16" t="str">
        <x:v>Submitted (UTC)</x:v>
      </x:c>
      <x:c r="F5" s="16" t="str">
        <x:v>X comment link</x:v>
      </x:c>
      <x:c r="G5" s="16" t="str">
        <x:v>X post link</x:v>
      </x:c>
      <x:c r="H5" s="16" t="str">
        <x:v>Feedback</x:v>
      </x:c>
      <x:c r="I5" s="17" t="str">
        <x:v>Author ID</x:v>
      </x:c>
    </x:row>
    <x:row r="6" ht="32" customHeight="1">
      <x:c r="A6" s="19"/>
      <x:c r="B6" s="19"/>
      <x:c r="C6" s="19"/>
      <x:c r="D6" s="23" t="n">
        <x:v>0</x:v>
      </x:c>
      <x:c r="E6" s="21"/>
      <x:c r="F6" s="19"/>
      <x:c r="G6" s="19"/>
      <x:c r="H6" s="28"/>
      <x:c r="I6" s="19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24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23" hidden="0" customWidth="1"/>
    <x:col min="9" max="9" width="70" hidden="0" customWidth="1"/>
    <x:col min="10" max="10" width="50" hidden="0" customWidth="1"/>
    <x:col min="11" max="11" width="19" hidden="0" customWidth="1"/>
    <x:col min="12" max="12" width="19" hidden="0" customWidth="1"/>
    <x:col min="13" max="13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Private moderation evidence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6" t="str">
        <x:v>Template. No live records. UTC periods use an exclusive end.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15" t="str">
        <x:v>Evaluation ID</x:v>
      </x:c>
      <x:c r="B5" s="16" t="str">
        <x:v>Member ID</x:v>
      </x:c>
      <x:c r="C5" s="16" t="str">
        <x:v>Scope</x:v>
      </x:c>
      <x:c r="D5" s="16" t="str">
        <x:v>Moderator ID</x:v>
      </x:c>
      <x:c r="E5" s="16" t="str">
        <x:v>Score 1-10</x:v>
      </x:c>
      <x:c r="F5" s="16" t="str">
        <x:v>Limited evidence</x:v>
      </x:c>
      <x:c r="G5" s="16" t="str">
        <x:v>Samples checked</x:v>
      </x:c>
      <x:c r="H5" s="16" t="str">
        <x:v>Evaluated (UTC)</x:v>
      </x:c>
      <x:c r="I5" s="16" t="str">
        <x:v>Private feedback</x:v>
      </x:c>
      <x:c r="J5" s="16" t="str">
        <x:v>Checked sample IDs</x:v>
      </x:c>
      <x:c r="K5" s="16" t="str">
        <x:v>Original score</x:v>
      </x:c>
      <x:c r="L5" s="16" t="str">
        <x:v>Revised score</x:v>
      </x:c>
      <x:c r="M5" s="17" t="str">
        <x:v>Revised (UTC)</x:v>
      </x:c>
    </x:row>
    <x:row r="6" ht="32" customHeight="1">
      <x:c r="A6" s="19"/>
      <x:c r="B6" s="19"/>
      <x:c r="C6" s="19"/>
      <x:c r="D6" s="19"/>
      <x:c r="E6" s="25" t="n">
        <x:v>0</x:v>
      </x:c>
      <x:c r="F6" s="23" t="n">
        <x:v>0</x:v>
      </x:c>
      <x:c r="G6" s="23" t="n">
        <x:v>0</x:v>
      </x:c>
      <x:c r="H6" s="21"/>
      <x:c r="I6" s="28"/>
      <x:c r="J6" s="28"/>
      <x:c r="K6" s="25" t="n">
        <x:v>0</x:v>
      </x:c>
      <x:c r="L6" s="25" t="n">
        <x:v>0</x:v>
      </x:c>
      <x:c r="M6" s="21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</x:sheetData>
  <x:pageMargins left="0.7" right="0.7" top="0.75" bottom="0.75" header="0.3" footer="0.3"/>
</x:worksheet>
</file>